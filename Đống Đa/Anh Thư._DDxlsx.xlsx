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phanngoc/Documents/Bơ Nơ Bakery/23-03-2026/Đống Đa/"/>
    </mc:Choice>
  </mc:AlternateContent>
  <xr:revisionPtr revIDLastSave="0" documentId="13_ncr:1_{CFC2A745-EF39-4D44-92D1-A228FA3BB9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D" sheetId="1" r:id="rId1"/>
    <sheet name="HV" sheetId="2" r:id="rId2"/>
    <sheet name="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" l="1"/>
  <c r="F46" i="1"/>
  <c r="D44" i="1"/>
  <c r="F44" i="1" s="1"/>
  <c r="E44" i="1"/>
  <c r="B41" i="1"/>
  <c r="E45" i="1" s="1"/>
  <c r="F47" i="1"/>
  <c r="E43" i="1"/>
  <c r="D43" i="1"/>
  <c r="T39" i="1"/>
  <c r="C43" i="1" s="1"/>
  <c r="T46" i="3"/>
  <c r="K46" i="3"/>
  <c r="J46" i="3"/>
  <c r="F30" i="3"/>
  <c r="F39" i="1"/>
  <c r="F43" i="1" l="1"/>
  <c r="C48" i="1" s="1"/>
  <c r="C45" i="1"/>
  <c r="F45" i="1" s="1"/>
</calcChain>
</file>

<file path=xl/sharedStrings.xml><?xml version="1.0" encoding="utf-8"?>
<sst xmlns="http://schemas.openxmlformats.org/spreadsheetml/2006/main" count="379" uniqueCount="180">
  <si>
    <t>Công ty: CÔNG TY</t>
  </si>
  <si>
    <t xml:space="preserve">Địa chỉ: </t>
  </si>
  <si>
    <t>BẢNG CHI TIẾT CHẤM CÔNG</t>
  </si>
  <si>
    <t>Mã nhân viên: 00042        Tên nhân viên: Anh Thư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</si>
  <si>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</si>
  <si>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</si>
  <si>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</si>
  <si>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</si>
  <si>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</si>
  <si>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</si>
  <si>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</si>
  <si>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</si>
  <si>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</si>
  <si>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</si>
  <si>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</si>
  <si>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</si>
  <si>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</si>
  <si>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</si>
  <si>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</si>
  <si>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</si>
  <si>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</si>
  <si>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</si>
  <si>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</si>
  <si>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</si>
  <si>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</si>
  <si>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</si>
  <si>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</si>
  <si>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</si>
  <si>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</si>
  <si>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</si>
  <si>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</si>
  <si>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</si>
  <si>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</si>
  <si>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12:48</t>
  </si>
  <si>
    <t>18:54</t>
  </si>
  <si>
    <t>V</t>
  </si>
  <si>
    <t>25/02/2026</t>
  </si>
  <si>
    <t>Tư</t>
  </si>
  <si>
    <t>26/02/2026</t>
  </si>
  <si>
    <t>Năm</t>
  </si>
  <si>
    <t>12:50</t>
  </si>
  <si>
    <t>18:25</t>
  </si>
  <si>
    <t>27/02/2026</t>
  </si>
  <si>
    <t>Sáu</t>
  </si>
  <si>
    <t>07:58</t>
  </si>
  <si>
    <t>18:26</t>
  </si>
  <si>
    <t>28/02/2026</t>
  </si>
  <si>
    <t>Bảy</t>
  </si>
  <si>
    <t>01/03/2026</t>
  </si>
  <si>
    <t>CN</t>
  </si>
  <si>
    <t>18:06</t>
  </si>
  <si>
    <t>02/03/2026</t>
  </si>
  <si>
    <t>Hai</t>
  </si>
  <si>
    <t>03/03/2026</t>
  </si>
  <si>
    <t>04/03/2026</t>
  </si>
  <si>
    <t>05/03/2026</t>
  </si>
  <si>
    <t>17:11</t>
  </si>
  <si>
    <t>21:59</t>
  </si>
  <si>
    <t>06/03/2026</t>
  </si>
  <si>
    <t>08:02</t>
  </si>
  <si>
    <t>12:35</t>
  </si>
  <si>
    <t>X</t>
  </si>
  <si>
    <t>07/03/2026</t>
  </si>
  <si>
    <t>08/03/2026</t>
  </si>
  <si>
    <t>09/03/2026</t>
  </si>
  <si>
    <t>17:09</t>
  </si>
  <si>
    <t>10/03/2026</t>
  </si>
  <si>
    <t>08:01</t>
  </si>
  <si>
    <t>12:33</t>
  </si>
  <si>
    <t>11/03/2026</t>
  </si>
  <si>
    <t>12/03/2026</t>
  </si>
  <si>
    <t>08:00</t>
  </si>
  <si>
    <t>13/03/2026</t>
  </si>
  <si>
    <t>22:04</t>
  </si>
  <si>
    <t>14/03/2026</t>
  </si>
  <si>
    <t>15/03/2026</t>
  </si>
  <si>
    <t>12:53</t>
  </si>
  <si>
    <t>22:01</t>
  </si>
  <si>
    <t>16/03/2026</t>
  </si>
  <si>
    <t>17:14</t>
  </si>
  <si>
    <t>17/03/2026</t>
  </si>
  <si>
    <t>18/03/2026</t>
  </si>
  <si>
    <t>19/03/2026</t>
  </si>
  <si>
    <t>20/03/2026</t>
  </si>
  <si>
    <t>12:30</t>
  </si>
  <si>
    <t>21/03/2026</t>
  </si>
  <si>
    <t>22/03/2026</t>
  </si>
  <si>
    <t>07:57</t>
  </si>
  <si>
    <t>18:00</t>
  </si>
  <si>
    <t>23/03/2026</t>
  </si>
  <si>
    <t>17:07</t>
  </si>
  <si>
    <t>O</t>
  </si>
  <si>
    <t>Mã nhân viên: NV7   Tên nhân viên: anh thư     Bộ phận: BÁN HÀNG</t>
  </si>
  <si>
    <t>Công làm</t>
  </si>
  <si>
    <t>Làm thêm</t>
  </si>
  <si>
    <t>Đi muộn</t>
  </si>
  <si>
    <t>Về sớm</t>
  </si>
  <si>
    <t>Số phút</t>
  </si>
  <si>
    <t>Số công</t>
  </si>
  <si>
    <t>Số lần</t>
  </si>
  <si>
    <t>Ca</t>
  </si>
  <si>
    <t>TG Vào Ra</t>
  </si>
  <si>
    <t>Muộn</t>
  </si>
  <si>
    <t>T.Giờ</t>
  </si>
  <si>
    <t>L.Thêm</t>
  </si>
  <si>
    <t>Ghi chú</t>
  </si>
  <si>
    <t>Đầu</t>
  </si>
  <si>
    <t>Cuối</t>
  </si>
  <si>
    <t>T3</t>
  </si>
  <si>
    <t>T4</t>
  </si>
  <si>
    <t>T5</t>
  </si>
  <si>
    <t>T6</t>
  </si>
  <si>
    <t>T7</t>
  </si>
  <si>
    <t>T2</t>
  </si>
  <si>
    <t>CA2</t>
  </si>
  <si>
    <t>Mã nhân viên: 00023        Tên nhân viên: Anh Thư          Phòng ban: ---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</si>
  <si>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</si>
  <si>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</si>
  <si>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</si>
  <si>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</si>
  <si>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</si>
  <si>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</si>
  <si>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</si>
  <si>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</si>
  <si>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</si>
  <si>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</si>
  <si>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</si>
  <si>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</si>
  <si>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19:32</t>
  </si>
  <si>
    <t>3/1/2026</t>
  </si>
  <si>
    <t>3/2/2026</t>
  </si>
  <si>
    <t>3/3/2026</t>
  </si>
  <si>
    <t>3/4/2026</t>
  </si>
  <si>
    <t>16:39</t>
  </si>
  <si>
    <t>3/5/2026</t>
  </si>
  <si>
    <t>3/6/2026</t>
  </si>
  <si>
    <t>3/7/2026</t>
  </si>
  <si>
    <t>3/8/2026</t>
  </si>
  <si>
    <t>18:45</t>
  </si>
  <si>
    <t>3/9/2026</t>
  </si>
  <si>
    <t>3/10/2026</t>
  </si>
  <si>
    <t>3/11/2026</t>
  </si>
  <si>
    <t>3/12/2026</t>
  </si>
  <si>
    <t>3/13/2026</t>
  </si>
  <si>
    <t>3/14/2026</t>
  </si>
  <si>
    <t>12:57</t>
  </si>
  <si>
    <t>18:01</t>
  </si>
  <si>
    <t>3/15/2026</t>
  </si>
  <si>
    <t>3/16/2026</t>
  </si>
  <si>
    <t>3/17/2026</t>
  </si>
  <si>
    <t>17:22</t>
  </si>
  <si>
    <t>22:03</t>
  </si>
  <si>
    <t>3/18/2026</t>
  </si>
  <si>
    <t>3/19/2026</t>
  </si>
  <si>
    <t>08:12</t>
  </si>
  <si>
    <t>12:36</t>
  </si>
  <si>
    <t>3/20/2026</t>
  </si>
  <si>
    <t>3/21/2026</t>
  </si>
  <si>
    <t>18:59</t>
  </si>
  <si>
    <t>3/22/2026</t>
  </si>
  <si>
    <t>3/23/2026</t>
  </si>
  <si>
    <t>XT</t>
  </si>
  <si>
    <t>Phạt trễ 8*3=24k</t>
  </si>
  <si>
    <t>Phạt trễ 6*3=18k</t>
  </si>
  <si>
    <t>Phạt trễ 4*3=12k</t>
  </si>
  <si>
    <t>Tổng ca</t>
  </si>
  <si>
    <t>Phạt trễ 19*3=57k</t>
  </si>
  <si>
    <t>Công 1</t>
  </si>
  <si>
    <t>Công 2</t>
  </si>
  <si>
    <t>Tổng số ca</t>
  </si>
  <si>
    <t>Trừ đi trễ</t>
  </si>
  <si>
    <t>Phạt</t>
  </si>
  <si>
    <t>Lương T3</t>
  </si>
  <si>
    <t>Còn lại</t>
  </si>
  <si>
    <t>Công 3</t>
  </si>
  <si>
    <t>Thưởng lễ 100k</t>
  </si>
  <si>
    <t>Tổng</t>
  </si>
  <si>
    <t>Thưởng</t>
  </si>
  <si>
    <t>Làm thêm giờ</t>
  </si>
  <si>
    <t>Thưởng lễ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</si>
</sst>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rgb="FF0070C0"/>
      <name val="Times New Roman"/>
      <family val="1"/>
    </font>
    <font>
      <sz val="10"/>
      <color rgb="FF0070C0"/>
      <name val="Times New Roman"/>
      <family val="1"/>
    </font>
    <font>
      <b/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name val="Times New Roman"/>
    </font>
    <font>
      <b/>
      <sz val="18"/>
      <name val="Times New Roman"/>
    </font>
    <font>
      <b/>
      <sz val="14"/>
      <name val="Times New Roman"/>
    </font>
    <font>
      <sz val="10"/>
      <name val="Times New Roman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gray125">
        <bgColor indexed="1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/>
  </cellStyleXfs>
  <cellXfs count="85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10" fillId="3" borderId="1" xfId="2" applyFont="1" applyFill="1" applyBorder="1"/>
    <xf numFmtId="0" fontId="11" fillId="3" borderId="1" xfId="2" applyFont="1" applyFill="1" applyBorder="1"/>
    <xf numFmtId="0" fontId="12" fillId="0" borderId="1" xfId="2" applyFont="1" applyBorder="1" applyAlignment="1">
      <alignment horizontal="left"/>
    </xf>
    <xf numFmtId="0" fontId="12" fillId="0" borderId="1" xfId="2" applyFont="1" applyBorder="1" applyAlignment="1">
      <alignment horizontal="center"/>
    </xf>
    <xf numFmtId="2" fontId="12" fillId="0" borderId="1" xfId="1" applyNumberFormat="1" applyFont="1" applyBorder="1" applyAlignment="1">
      <alignment horizontal="left"/>
    </xf>
    <xf numFmtId="2" fontId="12" fillId="0" borderId="1" xfId="1" applyNumberFormat="1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2" fillId="0" borderId="1" xfId="2" applyFont="1" applyBorder="1"/>
    <xf numFmtId="0" fontId="14" fillId="0" borderId="2" xfId="2" applyFont="1" applyBorder="1"/>
    <xf numFmtId="0" fontId="14" fillId="0" borderId="3" xfId="2" applyFont="1" applyBorder="1"/>
    <xf numFmtId="0" fontId="14" fillId="0" borderId="4" xfId="2" applyFont="1" applyBorder="1"/>
    <xf numFmtId="14" fontId="15" fillId="0" borderId="5" xfId="2" applyNumberFormat="1" applyFont="1" applyBorder="1" applyAlignment="1">
      <alignment horizontal="center"/>
    </xf>
    <xf numFmtId="0" fontId="15" fillId="0" borderId="5" xfId="2" applyFont="1" applyBorder="1"/>
    <xf numFmtId="0" fontId="15" fillId="0" borderId="5" xfId="2" applyFont="1" applyBorder="1" applyAlignment="1">
      <alignment horizontal="center"/>
    </xf>
    <xf numFmtId="0" fontId="15" fillId="0" borderId="6" xfId="2" applyFont="1" applyBorder="1" applyAlignment="1">
      <alignment horizontal="center"/>
    </xf>
    <xf numFmtId="0" fontId="15" fillId="0" borderId="7" xfId="2" applyFont="1" applyBorder="1" applyAlignment="1">
      <alignment horizontal="center"/>
    </xf>
    <xf numFmtId="2" fontId="15" fillId="0" borderId="5" xfId="1" applyNumberFormat="1" applyFont="1" applyBorder="1" applyAlignment="1">
      <alignment horizontal="center"/>
    </xf>
    <xf numFmtId="0" fontId="15" fillId="0" borderId="5" xfId="1" applyNumberFormat="1" applyFont="1" applyBorder="1" applyAlignment="1">
      <alignment horizontal="center"/>
    </xf>
    <xf numFmtId="2" fontId="15" fillId="0" borderId="1" xfId="1" applyNumberFormat="1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0" fontId="15" fillId="0" borderId="8" xfId="2" applyFont="1" applyBorder="1"/>
    <xf numFmtId="14" fontId="15" fillId="0" borderId="9" xfId="2" applyNumberFormat="1" applyFont="1" applyBorder="1" applyAlignment="1">
      <alignment horizontal="center"/>
    </xf>
    <xf numFmtId="0" fontId="15" fillId="0" borderId="9" xfId="2" applyFont="1" applyBorder="1"/>
    <xf numFmtId="0" fontId="15" fillId="0" borderId="9" xfId="2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2" fontId="15" fillId="0" borderId="9" xfId="1" applyNumberFormat="1" applyFont="1" applyBorder="1" applyAlignment="1">
      <alignment horizontal="center"/>
    </xf>
    <xf numFmtId="0" fontId="15" fillId="0" borderId="9" xfId="1" applyNumberFormat="1" applyFont="1" applyBorder="1" applyAlignment="1">
      <alignment horizontal="center"/>
    </xf>
    <xf numFmtId="0" fontId="0" fillId="0" borderId="9" xfId="1" applyNumberFormat="1" applyFont="1" applyBorder="1"/>
    <xf numFmtId="0" fontId="15" fillId="0" borderId="4" xfId="2" applyFont="1" applyBorder="1"/>
    <xf numFmtId="14" fontId="13" fillId="0" borderId="1" xfId="2" applyNumberFormat="1" applyFont="1" applyBorder="1"/>
    <xf numFmtId="0" fontId="13" fillId="0" borderId="1" xfId="2" applyFont="1" applyBorder="1"/>
    <xf numFmtId="20" fontId="13" fillId="0" borderId="1" xfId="2" applyNumberFormat="1" applyFont="1" applyBorder="1"/>
    <xf numFmtId="0" fontId="13" fillId="0" borderId="1" xfId="1" applyNumberFormat="1" applyFont="1" applyBorder="1"/>
    <xf numFmtId="0" fontId="13" fillId="0" borderId="8" xfId="2" applyFont="1" applyBorder="1"/>
    <xf numFmtId="14" fontId="4" fillId="4" borderId="1" xfId="0" applyNumberFormat="1" applyFont="1" applyFill="1" applyBorder="1"/>
    <xf numFmtId="0" fontId="4" fillId="4" borderId="1" xfId="0" applyFont="1" applyFill="1" applyBorder="1"/>
    <xf numFmtId="20" fontId="4" fillId="4" borderId="1" xfId="0" applyNumberFormat="1" applyFont="1" applyFill="1" applyBorder="1"/>
    <xf numFmtId="0" fontId="4" fillId="4" borderId="1" xfId="0" applyFont="1" applyFill="1" applyBorder="1"/>
    <xf numFmtId="14" fontId="4" fillId="5" borderId="1" xfId="0" applyNumberFormat="1" applyFont="1" applyFill="1" applyBorder="1"/>
    <xf numFmtId="0" fontId="4" fillId="5" borderId="1" xfId="0" applyFont="1" applyFill="1" applyBorder="1"/>
    <xf numFmtId="20" fontId="4" fillId="5" borderId="1" xfId="0" applyNumberFormat="1" applyFont="1" applyFill="1" applyBorder="1"/>
    <xf numFmtId="0" fontId="4" fillId="5" borderId="1" xfId="0" applyFont="1" applyFill="1" applyBorder="1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4" fillId="4" borderId="10" xfId="0" applyFont="1" applyFill="1" applyBorder="1"/>
    <xf numFmtId="0" fontId="19" fillId="0" borderId="10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0" xfId="0" applyFont="1"/>
    <xf numFmtId="43" fontId="22" fillId="0" borderId="1" xfId="1" applyFont="1" applyFill="1" applyBorder="1" applyAlignment="1">
      <alignment horizontal="center"/>
    </xf>
    <xf numFmtId="43" fontId="23" fillId="0" borderId="1" xfId="1" applyFont="1" applyBorder="1"/>
    <xf numFmtId="164" fontId="0" fillId="0" borderId="1" xfId="1" applyNumberFormat="1" applyFont="1" applyBorder="1"/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20" fontId="19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164" fontId="21" fillId="0" borderId="1" xfId="1" applyNumberFormat="1" applyFont="1" applyBorder="1" applyAlignment="1">
      <alignment horizontal="center"/>
    </xf>
    <xf numFmtId="0" fontId="23" fillId="0" borderId="1" xfId="0" applyFont="1" applyBorder="1"/>
    <xf numFmtId="43" fontId="2" fillId="0" borderId="1" xfId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_Xl0000052" xfId="2" xr:uid="{C3203CBF-265B-9545-A2C0-0D42B63079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topLeftCell="A10" zoomScale="114" workbookViewId="0">
      <selection activeCell="D44" sqref="D44"/>
    </sheetView>
  </sheetViews>
  <sheetFormatPr baseColWidth="10" defaultColWidth="8.83203125" defaultRowHeight="15" x14ac:dyDescent="0.2"/>
  <cols>
    <col min="1" max="1" width="14.6640625" style="5" customWidth="1"/>
    <col min="2" max="2" width="9" customWidth="1" collapsed="1"/>
    <col min="3" max="3" width="11.5" customWidth="1" collapsed="1"/>
    <col min="4" max="19" width="9" customWidth="1" collapsed="1"/>
  </cols>
  <sheetData>
    <row r="1" spans="2:20" x14ac:dyDescent="0.2">
      <c r="B1" s="9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2:20" x14ac:dyDescent="0.2"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2:20" ht="24" customHeight="1" x14ac:dyDescent="0.2"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2:20" ht="18" x14ac:dyDescent="0.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2:20" x14ac:dyDescent="0.2">
      <c r="B5" s="8" t="s">
        <v>4</v>
      </c>
      <c r="C5" s="8"/>
      <c r="D5" s="13">
        <v>18.22</v>
      </c>
      <c r="E5" s="13"/>
      <c r="F5" s="8"/>
      <c r="G5" s="8" t="s">
        <v>5</v>
      </c>
      <c r="H5" s="8"/>
      <c r="I5" s="2">
        <v>4</v>
      </c>
      <c r="J5" s="8"/>
      <c r="K5" s="8" t="s">
        <v>6</v>
      </c>
      <c r="L5" s="8"/>
      <c r="M5" s="2">
        <v>241</v>
      </c>
      <c r="N5" s="10"/>
      <c r="O5" s="1"/>
      <c r="P5" s="1"/>
      <c r="Q5" s="1"/>
      <c r="R5" s="1"/>
      <c r="S5" s="1"/>
    </row>
    <row r="6" spans="2:20" x14ac:dyDescent="0.2">
      <c r="B6" s="8" t="s">
        <v>7</v>
      </c>
      <c r="C6" s="8"/>
      <c r="D6" s="13">
        <v>1.81</v>
      </c>
      <c r="E6" s="13"/>
      <c r="F6" s="8"/>
      <c r="G6" s="8" t="s">
        <v>8</v>
      </c>
      <c r="H6" s="8"/>
      <c r="I6" s="2">
        <v>4</v>
      </c>
      <c r="J6" s="8"/>
      <c r="K6" s="8" t="s">
        <v>9</v>
      </c>
      <c r="L6" s="8"/>
      <c r="M6" s="2">
        <v>1066</v>
      </c>
      <c r="N6" s="8"/>
      <c r="O6" s="1"/>
      <c r="P6" s="1"/>
      <c r="Q6" s="1"/>
      <c r="R6" s="1"/>
      <c r="S6" s="1"/>
    </row>
    <row r="7" spans="2:20" x14ac:dyDescent="0.2">
      <c r="B7" s="8" t="s">
        <v>10</v>
      </c>
      <c r="C7" s="8"/>
      <c r="D7" s="2">
        <v>0</v>
      </c>
      <c r="E7" s="2">
        <v>0</v>
      </c>
      <c r="F7" s="8"/>
      <c r="G7" s="8" t="s">
        <v>11</v>
      </c>
      <c r="H7" s="8"/>
      <c r="I7" s="2">
        <v>12</v>
      </c>
      <c r="J7" s="8"/>
      <c r="K7" s="8" t="s">
        <v>12</v>
      </c>
      <c r="L7" s="8"/>
      <c r="M7" s="2">
        <v>0</v>
      </c>
      <c r="N7" s="8"/>
      <c r="O7" s="1"/>
      <c r="P7" s="1"/>
      <c r="Q7" s="1"/>
      <c r="R7" s="1"/>
      <c r="S7" s="1"/>
    </row>
    <row r="8" spans="2:20" x14ac:dyDescent="0.2">
      <c r="B8" s="7" t="s">
        <v>13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2:20" x14ac:dyDescent="0.2">
      <c r="B9" s="6" t="s">
        <v>14</v>
      </c>
      <c r="C9" s="6" t="s">
        <v>15</v>
      </c>
      <c r="D9" s="7" t="s">
        <v>16</v>
      </c>
      <c r="E9" s="7"/>
      <c r="F9" s="7" t="s">
        <v>17</v>
      </c>
      <c r="G9" s="7"/>
      <c r="H9" s="7" t="s">
        <v>18</v>
      </c>
      <c r="I9" s="7"/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6" t="s">
        <v>27</v>
      </c>
      <c r="S9" s="6" t="s">
        <v>28</v>
      </c>
      <c r="T9" t="s">
        <v>7</v>
      </c>
    </row>
    <row r="10" spans="2:20" x14ac:dyDescent="0.2">
      <c r="B10" s="6"/>
      <c r="C10" s="6"/>
      <c r="D10" s="3" t="s">
        <v>29</v>
      </c>
      <c r="E10" s="3" t="s">
        <v>30</v>
      </c>
      <c r="F10" s="3" t="s">
        <v>29</v>
      </c>
      <c r="G10" s="3" t="s">
        <v>30</v>
      </c>
      <c r="H10" s="3" t="s">
        <v>29</v>
      </c>
      <c r="I10" s="3" t="s">
        <v>30</v>
      </c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2:20" x14ac:dyDescent="0.2">
      <c r="B11" s="4" t="s">
        <v>31</v>
      </c>
      <c r="C11" s="4" t="s">
        <v>32</v>
      </c>
      <c r="D11" s="4" t="s">
        <v>33</v>
      </c>
      <c r="E11" s="4" t="s">
        <v>34</v>
      </c>
      <c r="F11" s="4"/>
      <c r="G11" s="4"/>
      <c r="H11" s="4"/>
      <c r="I11" s="4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 t="s">
        <v>35</v>
      </c>
      <c r="T11" s="77">
        <v>1</v>
      </c>
    </row>
    <row r="12" spans="2:20" x14ac:dyDescent="0.2">
      <c r="B12" s="4" t="s">
        <v>36</v>
      </c>
      <c r="C12" s="4" t="s">
        <v>37</v>
      </c>
      <c r="D12" s="4"/>
      <c r="E12" s="4"/>
      <c r="F12" s="4"/>
      <c r="G12" s="4"/>
      <c r="H12" s="4"/>
      <c r="I12" s="4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 t="s">
        <v>35</v>
      </c>
    </row>
    <row r="13" spans="2:20" x14ac:dyDescent="0.2">
      <c r="B13" s="4" t="s">
        <v>38</v>
      </c>
      <c r="C13" s="4" t="s">
        <v>39</v>
      </c>
      <c r="D13" s="4" t="s">
        <v>40</v>
      </c>
      <c r="E13" s="4" t="s">
        <v>41</v>
      </c>
      <c r="F13" s="4"/>
      <c r="G13" s="4"/>
      <c r="H13" s="4"/>
      <c r="I13" s="4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 t="s">
        <v>35</v>
      </c>
      <c r="T13" s="77">
        <v>1</v>
      </c>
    </row>
    <row r="14" spans="2:20" x14ac:dyDescent="0.2">
      <c r="B14" s="4" t="s">
        <v>42</v>
      </c>
      <c r="C14" s="4" t="s">
        <v>43</v>
      </c>
      <c r="D14" s="4" t="s">
        <v>44</v>
      </c>
      <c r="E14" s="4" t="s">
        <v>45</v>
      </c>
      <c r="F14" s="4"/>
      <c r="G14" s="4"/>
      <c r="H14" s="4"/>
      <c r="I14" s="4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 t="s">
        <v>35</v>
      </c>
      <c r="T14" s="77">
        <v>2</v>
      </c>
    </row>
    <row r="15" spans="2:20" x14ac:dyDescent="0.2">
      <c r="B15" s="4" t="s">
        <v>46</v>
      </c>
      <c r="C15" s="4" t="s">
        <v>47</v>
      </c>
      <c r="D15" s="4"/>
      <c r="E15" s="4"/>
      <c r="F15" s="4"/>
      <c r="G15" s="4"/>
      <c r="H15" s="4"/>
      <c r="I15" s="4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 t="s">
        <v>35</v>
      </c>
    </row>
    <row r="16" spans="2:20" x14ac:dyDescent="0.2">
      <c r="B16" s="4" t="s">
        <v>48</v>
      </c>
      <c r="C16" s="4" t="s">
        <v>49</v>
      </c>
      <c r="D16" s="4" t="s">
        <v>44</v>
      </c>
      <c r="E16" s="4" t="s">
        <v>50</v>
      </c>
      <c r="F16" s="4"/>
      <c r="G16" s="4"/>
      <c r="H16" s="4"/>
      <c r="I16" s="4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 t="s">
        <v>35</v>
      </c>
      <c r="T16" s="78">
        <v>2</v>
      </c>
    </row>
    <row r="17" spans="1:20" x14ac:dyDescent="0.2">
      <c r="B17" s="4" t="s">
        <v>51</v>
      </c>
      <c r="C17" s="4" t="s">
        <v>52</v>
      </c>
      <c r="D17" s="4"/>
      <c r="E17" s="4"/>
      <c r="F17" s="4"/>
      <c r="G17" s="4"/>
      <c r="H17" s="4"/>
      <c r="I17" s="4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 t="s">
        <v>35</v>
      </c>
    </row>
    <row r="18" spans="1:20" x14ac:dyDescent="0.2">
      <c r="B18" s="4" t="s">
        <v>53</v>
      </c>
      <c r="C18" s="4" t="s">
        <v>32</v>
      </c>
      <c r="D18" s="4"/>
      <c r="E18" s="4"/>
      <c r="F18" s="4"/>
      <c r="G18" s="4"/>
      <c r="H18" s="4"/>
      <c r="I18" s="4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 t="s">
        <v>35</v>
      </c>
    </row>
    <row r="19" spans="1:20" x14ac:dyDescent="0.2">
      <c r="B19" s="4" t="s">
        <v>54</v>
      </c>
      <c r="C19" s="4" t="s">
        <v>37</v>
      </c>
      <c r="D19" s="4"/>
      <c r="E19" s="4"/>
      <c r="F19" s="4"/>
      <c r="G19" s="4"/>
      <c r="H19" s="4"/>
      <c r="I19" s="4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 t="s">
        <v>35</v>
      </c>
    </row>
    <row r="20" spans="1:20" x14ac:dyDescent="0.2">
      <c r="A20" s="5" t="s">
        <v>162</v>
      </c>
      <c r="B20" s="4" t="s">
        <v>55</v>
      </c>
      <c r="C20" s="4" t="s">
        <v>39</v>
      </c>
      <c r="D20" s="4" t="s">
        <v>56</v>
      </c>
      <c r="E20" s="4" t="s">
        <v>57</v>
      </c>
      <c r="F20" s="4">
        <v>-11</v>
      </c>
      <c r="G20" s="4"/>
      <c r="H20" s="4"/>
      <c r="I20" s="4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 t="s">
        <v>35</v>
      </c>
      <c r="T20" s="77">
        <v>1</v>
      </c>
    </row>
    <row r="21" spans="1:20" x14ac:dyDescent="0.2">
      <c r="B21" s="4" t="s">
        <v>58</v>
      </c>
      <c r="C21" s="4" t="s">
        <v>43</v>
      </c>
      <c r="D21" s="4" t="s">
        <v>59</v>
      </c>
      <c r="E21" s="4" t="s">
        <v>60</v>
      </c>
      <c r="F21" s="4">
        <v>-27</v>
      </c>
      <c r="G21" s="4"/>
      <c r="H21" s="4"/>
      <c r="I21" s="4"/>
      <c r="J21" s="4">
        <v>62</v>
      </c>
      <c r="K21" s="4">
        <v>265</v>
      </c>
      <c r="L21" s="4">
        <v>0</v>
      </c>
      <c r="M21" s="4">
        <v>4.55</v>
      </c>
      <c r="N21" s="4">
        <v>0.45</v>
      </c>
      <c r="O21" s="4">
        <v>0</v>
      </c>
      <c r="P21" s="4">
        <v>0</v>
      </c>
      <c r="Q21" s="4">
        <v>0</v>
      </c>
      <c r="R21" s="4">
        <v>0</v>
      </c>
      <c r="S21" s="4" t="s">
        <v>61</v>
      </c>
      <c r="T21" s="77">
        <v>1</v>
      </c>
    </row>
    <row r="22" spans="1:20" x14ac:dyDescent="0.2">
      <c r="B22" s="4" t="s">
        <v>62</v>
      </c>
      <c r="C22" s="4" t="s">
        <v>47</v>
      </c>
      <c r="D22" s="4"/>
      <c r="E22" s="4"/>
      <c r="F22" s="4"/>
      <c r="G22" s="4"/>
      <c r="H22" s="4"/>
      <c r="I22" s="4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 t="s">
        <v>35</v>
      </c>
    </row>
    <row r="23" spans="1:20" x14ac:dyDescent="0.2">
      <c r="B23" s="4" t="s">
        <v>63</v>
      </c>
      <c r="C23" s="4" t="s">
        <v>49</v>
      </c>
      <c r="D23" s="4"/>
      <c r="E23" s="4"/>
      <c r="F23" s="4"/>
      <c r="G23" s="4"/>
      <c r="H23" s="4"/>
      <c r="I23" s="4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 t="s">
        <v>35</v>
      </c>
    </row>
    <row r="24" spans="1:20" x14ac:dyDescent="0.2">
      <c r="A24" s="5" t="s">
        <v>163</v>
      </c>
      <c r="B24" s="4" t="s">
        <v>64</v>
      </c>
      <c r="C24" s="4" t="s">
        <v>52</v>
      </c>
      <c r="D24" s="4" t="s">
        <v>65</v>
      </c>
      <c r="E24" s="4" t="s">
        <v>57</v>
      </c>
      <c r="F24" s="4">
        <v>-9</v>
      </c>
      <c r="G24" s="4"/>
      <c r="H24" s="4"/>
      <c r="I24" s="4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 t="s">
        <v>35</v>
      </c>
      <c r="T24" s="77">
        <v>1</v>
      </c>
    </row>
    <row r="25" spans="1:20" x14ac:dyDescent="0.2">
      <c r="B25" s="4" t="s">
        <v>66</v>
      </c>
      <c r="C25" s="4" t="s">
        <v>32</v>
      </c>
      <c r="D25" s="4" t="s">
        <v>67</v>
      </c>
      <c r="E25" s="4" t="s">
        <v>68</v>
      </c>
      <c r="F25" s="4">
        <v>-28</v>
      </c>
      <c r="G25" s="4"/>
      <c r="H25" s="4"/>
      <c r="I25" s="4"/>
      <c r="J25" s="4">
        <v>61</v>
      </c>
      <c r="K25" s="4">
        <v>266</v>
      </c>
      <c r="L25" s="4">
        <v>0</v>
      </c>
      <c r="M25" s="4">
        <v>4.55</v>
      </c>
      <c r="N25" s="4">
        <v>0.45</v>
      </c>
      <c r="O25" s="4">
        <v>0</v>
      </c>
      <c r="P25" s="4">
        <v>0</v>
      </c>
      <c r="Q25" s="4">
        <v>0</v>
      </c>
      <c r="R25" s="4">
        <v>0</v>
      </c>
      <c r="S25" s="4" t="s">
        <v>61</v>
      </c>
      <c r="T25" s="78">
        <v>1</v>
      </c>
    </row>
    <row r="26" spans="1:20" x14ac:dyDescent="0.2">
      <c r="B26" s="4" t="s">
        <v>69</v>
      </c>
      <c r="C26" s="4" t="s">
        <v>37</v>
      </c>
      <c r="D26" s="4"/>
      <c r="E26" s="4"/>
      <c r="F26" s="4"/>
      <c r="G26" s="4"/>
      <c r="H26" s="4"/>
      <c r="I26" s="4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 t="s">
        <v>35</v>
      </c>
    </row>
    <row r="27" spans="1:20" x14ac:dyDescent="0.2">
      <c r="B27" s="4" t="s">
        <v>70</v>
      </c>
      <c r="C27" s="4" t="s">
        <v>39</v>
      </c>
      <c r="D27" s="4" t="s">
        <v>71</v>
      </c>
      <c r="E27" s="4" t="s">
        <v>68</v>
      </c>
      <c r="F27" s="4">
        <v>-27</v>
      </c>
      <c r="G27" s="4"/>
      <c r="H27" s="4"/>
      <c r="I27" s="4"/>
      <c r="J27" s="4">
        <v>60</v>
      </c>
      <c r="K27" s="4">
        <v>266</v>
      </c>
      <c r="L27" s="4">
        <v>0</v>
      </c>
      <c r="M27" s="4">
        <v>4.57</v>
      </c>
      <c r="N27" s="4">
        <v>0.46</v>
      </c>
      <c r="O27" s="4">
        <v>0</v>
      </c>
      <c r="P27" s="4">
        <v>0</v>
      </c>
      <c r="Q27" s="4">
        <v>0</v>
      </c>
      <c r="R27" s="4">
        <v>0</v>
      </c>
      <c r="S27" s="4" t="s">
        <v>61</v>
      </c>
      <c r="T27" s="77">
        <v>1</v>
      </c>
    </row>
    <row r="28" spans="1:20" x14ac:dyDescent="0.2">
      <c r="A28" s="5" t="s">
        <v>163</v>
      </c>
      <c r="B28" s="4" t="s">
        <v>72</v>
      </c>
      <c r="C28" s="4" t="s">
        <v>43</v>
      </c>
      <c r="D28" s="4" t="s">
        <v>65</v>
      </c>
      <c r="E28" s="4" t="s">
        <v>73</v>
      </c>
      <c r="F28" s="4">
        <v>-9</v>
      </c>
      <c r="G28" s="4"/>
      <c r="H28" s="4"/>
      <c r="I28" s="4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 t="s">
        <v>35</v>
      </c>
      <c r="T28" s="78">
        <v>1</v>
      </c>
    </row>
    <row r="29" spans="1:20" x14ac:dyDescent="0.2">
      <c r="B29" s="4" t="s">
        <v>74</v>
      </c>
      <c r="C29" s="4" t="s">
        <v>47</v>
      </c>
      <c r="D29" s="4"/>
      <c r="E29" s="4"/>
      <c r="F29" s="4"/>
      <c r="G29" s="4"/>
      <c r="H29" s="4"/>
      <c r="I29" s="4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 t="s">
        <v>35</v>
      </c>
    </row>
    <row r="30" spans="1:20" x14ac:dyDescent="0.2">
      <c r="B30" s="4" t="s">
        <v>75</v>
      </c>
      <c r="C30" s="4" t="s">
        <v>49</v>
      </c>
      <c r="D30" s="4" t="s">
        <v>76</v>
      </c>
      <c r="E30" s="4" t="s">
        <v>77</v>
      </c>
      <c r="F30" s="4"/>
      <c r="G30" s="4"/>
      <c r="H30" s="4"/>
      <c r="I30" s="4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 t="s">
        <v>35</v>
      </c>
      <c r="T30" s="78">
        <v>2</v>
      </c>
    </row>
    <row r="31" spans="1:20" x14ac:dyDescent="0.2">
      <c r="A31" s="5" t="s">
        <v>161</v>
      </c>
      <c r="B31" s="4" t="s">
        <v>78</v>
      </c>
      <c r="C31" s="4" t="s">
        <v>52</v>
      </c>
      <c r="D31" s="4" t="s">
        <v>79</v>
      </c>
      <c r="E31" s="4" t="s">
        <v>57</v>
      </c>
      <c r="F31" s="4">
        <v>-14</v>
      </c>
      <c r="G31" s="4"/>
      <c r="H31" s="4"/>
      <c r="I31" s="4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 t="s">
        <v>35</v>
      </c>
      <c r="T31" s="78">
        <v>1</v>
      </c>
    </row>
    <row r="32" spans="1:20" x14ac:dyDescent="0.2">
      <c r="B32" s="4" t="s">
        <v>80</v>
      </c>
      <c r="C32" s="4" t="s">
        <v>32</v>
      </c>
      <c r="D32" s="4"/>
      <c r="E32" s="4"/>
      <c r="F32" s="4"/>
      <c r="G32" s="4"/>
      <c r="H32" s="4"/>
      <c r="I32" s="4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 t="s">
        <v>35</v>
      </c>
    </row>
    <row r="33" spans="1:20" x14ac:dyDescent="0.2">
      <c r="B33" s="4" t="s">
        <v>81</v>
      </c>
      <c r="C33" s="4" t="s">
        <v>37</v>
      </c>
      <c r="D33" s="4"/>
      <c r="E33" s="4"/>
      <c r="F33" s="4"/>
      <c r="G33" s="4"/>
      <c r="H33" s="4"/>
      <c r="I33" s="4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 t="s">
        <v>35</v>
      </c>
    </row>
    <row r="34" spans="1:20" x14ac:dyDescent="0.2">
      <c r="B34" s="4" t="s">
        <v>82</v>
      </c>
      <c r="C34" s="4" t="s">
        <v>39</v>
      </c>
      <c r="D34" s="4"/>
      <c r="E34" s="4"/>
      <c r="F34" s="4"/>
      <c r="G34" s="4"/>
      <c r="H34" s="4"/>
      <c r="I34" s="4"/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 t="s">
        <v>35</v>
      </c>
    </row>
    <row r="35" spans="1:20" x14ac:dyDescent="0.2">
      <c r="B35" s="4" t="s">
        <v>83</v>
      </c>
      <c r="C35" s="4" t="s">
        <v>43</v>
      </c>
      <c r="D35" s="4" t="s">
        <v>44</v>
      </c>
      <c r="E35" s="4" t="s">
        <v>84</v>
      </c>
      <c r="F35" s="4">
        <v>-30</v>
      </c>
      <c r="G35" s="4"/>
      <c r="H35" s="4"/>
      <c r="I35" s="4"/>
      <c r="J35" s="4">
        <v>58</v>
      </c>
      <c r="K35" s="4">
        <v>269</v>
      </c>
      <c r="L35" s="4">
        <v>0</v>
      </c>
      <c r="M35" s="4">
        <v>4.55</v>
      </c>
      <c r="N35" s="4">
        <v>0.45</v>
      </c>
      <c r="O35" s="4">
        <v>0</v>
      </c>
      <c r="P35" s="4">
        <v>0</v>
      </c>
      <c r="Q35" s="4">
        <v>0</v>
      </c>
      <c r="R35" s="4">
        <v>0</v>
      </c>
      <c r="S35" s="4" t="s">
        <v>61</v>
      </c>
      <c r="T35" s="77">
        <v>1</v>
      </c>
    </row>
    <row r="36" spans="1:20" x14ac:dyDescent="0.2">
      <c r="B36" s="4" t="s">
        <v>85</v>
      </c>
      <c r="C36" s="4" t="s">
        <v>47</v>
      </c>
      <c r="D36" s="4"/>
      <c r="E36" s="4"/>
      <c r="F36" s="4"/>
      <c r="G36" s="4"/>
      <c r="H36" s="4"/>
      <c r="I36" s="4"/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 t="s">
        <v>35</v>
      </c>
    </row>
    <row r="37" spans="1:20" x14ac:dyDescent="0.2">
      <c r="B37" s="4" t="s">
        <v>86</v>
      </c>
      <c r="C37" s="4" t="s">
        <v>49</v>
      </c>
      <c r="D37" s="4" t="s">
        <v>87</v>
      </c>
      <c r="E37" s="4" t="s">
        <v>88</v>
      </c>
      <c r="F37" s="4"/>
      <c r="G37" s="4"/>
      <c r="H37" s="4"/>
      <c r="I37" s="4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 t="s">
        <v>35</v>
      </c>
      <c r="T37" s="77">
        <v>2</v>
      </c>
    </row>
    <row r="38" spans="1:20" x14ac:dyDescent="0.2">
      <c r="A38" s="5" t="s">
        <v>164</v>
      </c>
      <c r="B38" s="4" t="s">
        <v>89</v>
      </c>
      <c r="C38" s="4" t="s">
        <v>52</v>
      </c>
      <c r="D38" s="4" t="s">
        <v>90</v>
      </c>
      <c r="E38" s="4"/>
      <c r="F38" s="4"/>
      <c r="G38" s="4"/>
      <c r="H38" s="4"/>
      <c r="I38" s="4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 t="s">
        <v>91</v>
      </c>
      <c r="T38" s="77">
        <v>1</v>
      </c>
    </row>
    <row r="39" spans="1:20" x14ac:dyDescent="0.2">
      <c r="F39">
        <f>SUM(F11:F38)</f>
        <v>-155</v>
      </c>
      <c r="T39">
        <f>SUM(T11:T38)</f>
        <v>19</v>
      </c>
    </row>
    <row r="41" spans="1:20" x14ac:dyDescent="0.2">
      <c r="B41">
        <f>110000/5/60</f>
        <v>366.66666666666669</v>
      </c>
    </row>
    <row r="42" spans="1:20" x14ac:dyDescent="0.2">
      <c r="B42" s="75"/>
      <c r="C42" s="84" t="s">
        <v>167</v>
      </c>
      <c r="D42" s="75" t="s">
        <v>168</v>
      </c>
      <c r="E42" s="75" t="s">
        <v>174</v>
      </c>
      <c r="F42" s="83" t="s">
        <v>176</v>
      </c>
    </row>
    <row r="43" spans="1:20" x14ac:dyDescent="0.2">
      <c r="B43" s="74" t="s">
        <v>169</v>
      </c>
      <c r="C43" s="76">
        <f>T39</f>
        <v>19</v>
      </c>
      <c r="D43" s="76">
        <f>HV!Q20</f>
        <v>1</v>
      </c>
      <c r="E43" s="76">
        <f>NT!T46</f>
        <v>8</v>
      </c>
      <c r="F43" s="80">
        <f>SUM(C43:E43)</f>
        <v>28</v>
      </c>
    </row>
    <row r="44" spans="1:20" s="5" customFormat="1" x14ac:dyDescent="0.2">
      <c r="B44" s="74" t="s">
        <v>178</v>
      </c>
      <c r="C44" s="76"/>
      <c r="D44" s="76">
        <f>HV!I20*DD!B41</f>
        <v>2933.3333333333335</v>
      </c>
      <c r="E44" s="76">
        <f>B41*NT!F30</f>
        <v>37033.333333333336</v>
      </c>
      <c r="F44" s="80">
        <f>SUM(C44:E44)</f>
        <v>39966.666666666672</v>
      </c>
    </row>
    <row r="45" spans="1:20" x14ac:dyDescent="0.2">
      <c r="B45" s="74" t="s">
        <v>170</v>
      </c>
      <c r="C45" s="76">
        <f>B41*F39</f>
        <v>-56833.333333333336</v>
      </c>
      <c r="D45" s="76">
        <v>0</v>
      </c>
      <c r="E45" s="76">
        <f>B41*NT!J46+NT!K46</f>
        <v>-12490.666666666668</v>
      </c>
      <c r="F45" s="80">
        <f>SUM(C45:E45)</f>
        <v>-69324</v>
      </c>
    </row>
    <row r="46" spans="1:20" x14ac:dyDescent="0.2">
      <c r="B46" s="74" t="s">
        <v>177</v>
      </c>
      <c r="C46" s="76"/>
      <c r="D46" s="76">
        <v>50000</v>
      </c>
      <c r="E46" s="76">
        <v>100000</v>
      </c>
      <c r="F46" s="80">
        <f>SUM(C46:E46)</f>
        <v>150000</v>
      </c>
    </row>
    <row r="47" spans="1:20" x14ac:dyDescent="0.2">
      <c r="B47" s="74" t="s">
        <v>171</v>
      </c>
      <c r="C47" s="76">
        <v>-72000</v>
      </c>
      <c r="D47" s="76"/>
      <c r="E47" s="76">
        <v>-57000</v>
      </c>
      <c r="F47" s="80">
        <f>SUM(C47:E47)</f>
        <v>-129000</v>
      </c>
    </row>
    <row r="48" spans="1:20" x14ac:dyDescent="0.2">
      <c r="B48" s="74" t="s">
        <v>172</v>
      </c>
      <c r="C48" s="81">
        <f>F43*110000</f>
        <v>3080000</v>
      </c>
      <c r="D48" s="81"/>
      <c r="E48" s="81"/>
      <c r="F48" s="81"/>
    </row>
    <row r="49" spans="2:6" x14ac:dyDescent="0.2">
      <c r="B49" s="74" t="s">
        <v>173</v>
      </c>
      <c r="C49" s="82">
        <f>SUM(F44:F47,C48)</f>
        <v>3071642.6666666665</v>
      </c>
      <c r="D49" s="82"/>
      <c r="E49" s="82"/>
      <c r="F49" s="82"/>
    </row>
  </sheetData>
  <mergeCells count="36">
    <mergeCell ref="C49:F49"/>
    <mergeCell ref="K6:L6"/>
    <mergeCell ref="B7:C7"/>
    <mergeCell ref="C48:F48"/>
    <mergeCell ref="P9:P10"/>
    <mergeCell ref="Q9:Q10"/>
    <mergeCell ref="B1:S1"/>
    <mergeCell ref="B2:S2"/>
    <mergeCell ref="B3:S3"/>
    <mergeCell ref="B4:S4"/>
    <mergeCell ref="B5:C5"/>
    <mergeCell ref="D5:E5"/>
    <mergeCell ref="F5:F7"/>
    <mergeCell ref="G5:H5"/>
    <mergeCell ref="J5:J7"/>
    <mergeCell ref="K5:L5"/>
    <mergeCell ref="N5:N7"/>
    <mergeCell ref="B6:C6"/>
    <mergeCell ref="D6:E6"/>
    <mergeCell ref="G6:H6"/>
    <mergeCell ref="R9:R10"/>
    <mergeCell ref="S9:S10"/>
    <mergeCell ref="G7:H7"/>
    <mergeCell ref="K7:L7"/>
    <mergeCell ref="B8:S8"/>
    <mergeCell ref="B9:B10"/>
    <mergeCell ref="C9:C10"/>
    <mergeCell ref="D9:E9"/>
    <mergeCell ref="F9:G9"/>
    <mergeCell ref="H9:I9"/>
    <mergeCell ref="J9:J10"/>
    <mergeCell ref="K9:K10"/>
    <mergeCell ref="L9:L10"/>
    <mergeCell ref="M9:M10"/>
    <mergeCell ref="N9:N10"/>
    <mergeCell ref="O9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A24A-6A69-7D49-BD30-2B7D582DF256}">
  <dimension ref="A1:Q36"/>
  <sheetViews>
    <sheetView workbookViewId="0">
      <selection activeCell="E26" sqref="E26"/>
    </sheetView>
  </sheetViews>
  <sheetFormatPr baseColWidth="10" defaultRowHeight="15" x14ac:dyDescent="0.2"/>
  <cols>
    <col min="1" max="1" width="11.6640625" style="5" customWidth="1"/>
  </cols>
  <sheetData>
    <row r="1" spans="2:17" ht="20" x14ac:dyDescent="0.2">
      <c r="B1" s="14" t="s">
        <v>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2:17" x14ac:dyDescent="0.2">
      <c r="B2" s="16" t="s">
        <v>92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2:17" x14ac:dyDescent="0.2">
      <c r="B3" s="18" t="s">
        <v>93</v>
      </c>
      <c r="C3" s="18"/>
      <c r="D3" s="19"/>
      <c r="E3" s="18" t="s">
        <v>94</v>
      </c>
      <c r="F3" s="18"/>
      <c r="G3" s="18"/>
      <c r="H3" s="19"/>
      <c r="I3" s="20" t="s">
        <v>95</v>
      </c>
      <c r="J3" s="20"/>
      <c r="K3" s="20"/>
      <c r="L3" s="21"/>
      <c r="M3" s="20" t="s">
        <v>96</v>
      </c>
      <c r="N3" s="20"/>
      <c r="O3" s="20"/>
      <c r="P3" s="22"/>
    </row>
    <row r="4" spans="2:17" x14ac:dyDescent="0.2">
      <c r="B4" s="23" t="s">
        <v>4</v>
      </c>
      <c r="C4" s="23">
        <v>5</v>
      </c>
      <c r="D4" s="19"/>
      <c r="E4" s="18" t="s">
        <v>97</v>
      </c>
      <c r="F4" s="18"/>
      <c r="G4" s="23">
        <v>5</v>
      </c>
      <c r="H4" s="19"/>
      <c r="I4" s="20" t="s">
        <v>97</v>
      </c>
      <c r="J4" s="20"/>
      <c r="K4" s="23">
        <v>0</v>
      </c>
      <c r="L4" s="21"/>
      <c r="M4" s="20" t="s">
        <v>97</v>
      </c>
      <c r="N4" s="20"/>
      <c r="O4" s="23">
        <v>0</v>
      </c>
      <c r="P4" s="22"/>
    </row>
    <row r="5" spans="2:17" x14ac:dyDescent="0.2">
      <c r="B5" s="23" t="s">
        <v>98</v>
      </c>
      <c r="C5" s="23">
        <v>1</v>
      </c>
      <c r="D5" s="19"/>
      <c r="E5" s="18"/>
      <c r="F5" s="18"/>
      <c r="G5" s="23"/>
      <c r="H5" s="19"/>
      <c r="I5" s="20" t="s">
        <v>99</v>
      </c>
      <c r="J5" s="20"/>
      <c r="K5" s="23">
        <v>0</v>
      </c>
      <c r="L5" s="21"/>
      <c r="M5" s="20" t="s">
        <v>99</v>
      </c>
      <c r="N5" s="20"/>
      <c r="O5" s="23">
        <v>0</v>
      </c>
      <c r="P5" s="22"/>
    </row>
    <row r="6" spans="2:17" x14ac:dyDescent="0.2">
      <c r="B6" s="24" t="s">
        <v>13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2:17" x14ac:dyDescent="0.2">
      <c r="B7" s="27" t="s">
        <v>14</v>
      </c>
      <c r="C7" s="28" t="s">
        <v>15</v>
      </c>
      <c r="D7" s="29" t="s">
        <v>100</v>
      </c>
      <c r="E7" s="30" t="s">
        <v>101</v>
      </c>
      <c r="F7" s="31"/>
      <c r="G7" s="32" t="s">
        <v>102</v>
      </c>
      <c r="H7" s="32" t="s">
        <v>20</v>
      </c>
      <c r="I7" s="33" t="s">
        <v>103</v>
      </c>
      <c r="J7" s="33" t="s">
        <v>23</v>
      </c>
      <c r="K7" s="34" t="s">
        <v>104</v>
      </c>
      <c r="L7" s="35" t="s">
        <v>105</v>
      </c>
      <c r="M7" s="35"/>
      <c r="N7" s="35"/>
      <c r="O7" s="35"/>
      <c r="P7" s="36"/>
      <c r="Q7" t="s">
        <v>165</v>
      </c>
    </row>
    <row r="8" spans="2:17" x14ac:dyDescent="0.2">
      <c r="B8" s="37"/>
      <c r="C8" s="38"/>
      <c r="D8" s="39"/>
      <c r="E8" s="40" t="s">
        <v>106</v>
      </c>
      <c r="F8" s="40" t="s">
        <v>107</v>
      </c>
      <c r="G8" s="41"/>
      <c r="H8" s="41"/>
      <c r="I8" s="42"/>
      <c r="J8" s="43"/>
      <c r="K8" s="34"/>
      <c r="L8" s="35"/>
      <c r="M8" s="35"/>
      <c r="N8" s="35"/>
      <c r="O8" s="35"/>
      <c r="P8" s="44"/>
    </row>
    <row r="9" spans="2:17" x14ac:dyDescent="0.2">
      <c r="B9" s="45">
        <v>46077</v>
      </c>
      <c r="C9" s="46" t="s">
        <v>108</v>
      </c>
      <c r="D9" s="46"/>
      <c r="E9" s="47"/>
      <c r="F9" s="47"/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22"/>
      <c r="M9" s="22"/>
      <c r="N9" s="22"/>
      <c r="O9" s="22"/>
      <c r="P9" s="49"/>
    </row>
    <row r="10" spans="2:17" x14ac:dyDescent="0.2">
      <c r="B10" s="45">
        <v>46078</v>
      </c>
      <c r="C10" s="46" t="s">
        <v>109</v>
      </c>
      <c r="D10" s="46"/>
      <c r="E10" s="47"/>
      <c r="F10" s="47"/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22"/>
      <c r="M10" s="22"/>
      <c r="N10" s="22"/>
      <c r="O10" s="22"/>
      <c r="P10" s="49"/>
    </row>
    <row r="11" spans="2:17" x14ac:dyDescent="0.2">
      <c r="B11" s="45">
        <v>46079</v>
      </c>
      <c r="C11" s="46" t="s">
        <v>110</v>
      </c>
      <c r="D11" s="46"/>
      <c r="E11" s="47"/>
      <c r="F11" s="47"/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22"/>
      <c r="M11" s="22"/>
      <c r="N11" s="22"/>
      <c r="O11" s="22"/>
      <c r="P11" s="49"/>
    </row>
    <row r="12" spans="2:17" x14ac:dyDescent="0.2">
      <c r="B12" s="45">
        <v>46080</v>
      </c>
      <c r="C12" s="46" t="s">
        <v>111</v>
      </c>
      <c r="D12" s="46"/>
      <c r="E12" s="47"/>
      <c r="F12" s="47"/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22"/>
      <c r="M12" s="22"/>
      <c r="N12" s="22"/>
      <c r="O12" s="22"/>
      <c r="P12" s="49"/>
    </row>
    <row r="13" spans="2:17" x14ac:dyDescent="0.2">
      <c r="B13" s="50">
        <v>46081</v>
      </c>
      <c r="C13" s="51" t="s">
        <v>112</v>
      </c>
      <c r="D13" s="51"/>
      <c r="E13" s="52"/>
      <c r="F13" s="52"/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3"/>
      <c r="M13" s="22"/>
      <c r="N13" s="22"/>
      <c r="O13" s="22"/>
      <c r="P13" s="49"/>
    </row>
    <row r="14" spans="2:17" x14ac:dyDescent="0.2">
      <c r="B14" s="54">
        <v>46082</v>
      </c>
      <c r="C14" s="55" t="s">
        <v>49</v>
      </c>
      <c r="D14" s="55"/>
      <c r="E14" s="56"/>
      <c r="F14" s="56"/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7"/>
      <c r="M14" s="22"/>
      <c r="N14" s="22"/>
      <c r="O14" s="22"/>
      <c r="P14" s="49"/>
    </row>
    <row r="15" spans="2:17" x14ac:dyDescent="0.2">
      <c r="B15" s="45">
        <v>46083</v>
      </c>
      <c r="C15" s="46" t="s">
        <v>113</v>
      </c>
      <c r="D15" s="46"/>
      <c r="E15" s="47"/>
      <c r="F15" s="47"/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22"/>
      <c r="M15" s="22"/>
      <c r="N15" s="22"/>
      <c r="O15" s="22"/>
      <c r="P15" s="49"/>
    </row>
    <row r="16" spans="2:17" x14ac:dyDescent="0.2">
      <c r="B16" s="45">
        <v>46084</v>
      </c>
      <c r="C16" s="46" t="s">
        <v>108</v>
      </c>
      <c r="D16" s="46"/>
      <c r="E16" s="47"/>
      <c r="F16" s="47"/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22"/>
      <c r="M16" s="22"/>
      <c r="N16" s="22"/>
      <c r="O16" s="22"/>
      <c r="P16" s="49"/>
    </row>
    <row r="17" spans="1:17" x14ac:dyDescent="0.2">
      <c r="B17" s="45">
        <v>46085</v>
      </c>
      <c r="C17" s="46" t="s">
        <v>109</v>
      </c>
      <c r="D17" s="46"/>
      <c r="E17" s="47"/>
      <c r="F17" s="47"/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22"/>
      <c r="M17" s="22"/>
      <c r="N17" s="22"/>
      <c r="O17" s="22"/>
      <c r="P17" s="49"/>
    </row>
    <row r="18" spans="1:17" x14ac:dyDescent="0.2">
      <c r="B18" s="45">
        <v>46086</v>
      </c>
      <c r="C18" s="46" t="s">
        <v>110</v>
      </c>
      <c r="D18" s="46"/>
      <c r="E18" s="47"/>
      <c r="F18" s="47"/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22"/>
      <c r="M18" s="22"/>
      <c r="N18" s="22"/>
      <c r="O18" s="22"/>
      <c r="P18" s="49"/>
    </row>
    <row r="19" spans="1:17" x14ac:dyDescent="0.2">
      <c r="B19" s="45">
        <v>46087</v>
      </c>
      <c r="C19" s="46" t="s">
        <v>111</v>
      </c>
      <c r="D19" s="46"/>
      <c r="E19" s="47"/>
      <c r="F19" s="47"/>
      <c r="G19" s="48">
        <v>0</v>
      </c>
      <c r="H19" s="48">
        <v>0</v>
      </c>
      <c r="I19" s="48">
        <v>0</v>
      </c>
      <c r="J19" s="48">
        <v>0</v>
      </c>
      <c r="K19" s="48">
        <v>0</v>
      </c>
      <c r="L19" s="22"/>
      <c r="M19" s="22"/>
      <c r="N19" s="22"/>
      <c r="O19" s="22"/>
      <c r="P19" s="49"/>
    </row>
    <row r="20" spans="1:17" x14ac:dyDescent="0.2">
      <c r="A20" s="5" t="s">
        <v>179</v>
      </c>
      <c r="B20" s="50">
        <v>46088</v>
      </c>
      <c r="C20" s="51" t="s">
        <v>112</v>
      </c>
      <c r="D20" s="51" t="s">
        <v>114</v>
      </c>
      <c r="E20" s="52">
        <v>46088.539780092593</v>
      </c>
      <c r="F20" s="52">
        <v>46088.753472222219</v>
      </c>
      <c r="G20" s="51">
        <v>0</v>
      </c>
      <c r="H20" s="51">
        <v>0</v>
      </c>
      <c r="I20" s="51">
        <v>8</v>
      </c>
      <c r="J20" s="51">
        <v>1</v>
      </c>
      <c r="K20" s="51">
        <v>5</v>
      </c>
      <c r="L20" s="53"/>
      <c r="M20" s="22"/>
      <c r="N20" s="22"/>
      <c r="O20" s="22"/>
      <c r="P20" s="49"/>
      <c r="Q20" s="69">
        <v>1</v>
      </c>
    </row>
    <row r="21" spans="1:17" x14ac:dyDescent="0.2">
      <c r="B21" s="54">
        <v>46089</v>
      </c>
      <c r="C21" s="55" t="s">
        <v>49</v>
      </c>
      <c r="D21" s="55"/>
      <c r="E21" s="56"/>
      <c r="F21" s="56"/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7"/>
      <c r="M21" s="22"/>
      <c r="N21" s="22"/>
      <c r="O21" s="22"/>
      <c r="P21" s="49"/>
    </row>
    <row r="22" spans="1:17" x14ac:dyDescent="0.2">
      <c r="B22" s="45">
        <v>46090</v>
      </c>
      <c r="C22" s="46" t="s">
        <v>113</v>
      </c>
      <c r="D22" s="46"/>
      <c r="E22" s="47"/>
      <c r="F22" s="47"/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22"/>
      <c r="M22" s="22"/>
      <c r="N22" s="22"/>
      <c r="O22" s="22"/>
      <c r="P22" s="49"/>
    </row>
    <row r="23" spans="1:17" x14ac:dyDescent="0.2">
      <c r="B23" s="45">
        <v>46091</v>
      </c>
      <c r="C23" s="46" t="s">
        <v>108</v>
      </c>
      <c r="D23" s="46"/>
      <c r="E23" s="47"/>
      <c r="F23" s="47"/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22"/>
      <c r="M23" s="22"/>
      <c r="N23" s="22"/>
      <c r="O23" s="22"/>
      <c r="P23" s="49"/>
    </row>
    <row r="24" spans="1:17" x14ac:dyDescent="0.2">
      <c r="B24" s="45">
        <v>46092</v>
      </c>
      <c r="C24" s="46" t="s">
        <v>109</v>
      </c>
      <c r="D24" s="46"/>
      <c r="E24" s="47"/>
      <c r="F24" s="47"/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22"/>
      <c r="M24" s="22"/>
      <c r="N24" s="22"/>
      <c r="O24" s="22"/>
      <c r="P24" s="49"/>
    </row>
    <row r="25" spans="1:17" x14ac:dyDescent="0.2">
      <c r="B25" s="45">
        <v>46093</v>
      </c>
      <c r="C25" s="46" t="s">
        <v>110</v>
      </c>
      <c r="D25" s="46"/>
      <c r="E25" s="47"/>
      <c r="F25" s="47"/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22"/>
      <c r="M25" s="22"/>
      <c r="N25" s="22"/>
      <c r="O25" s="22"/>
      <c r="P25" s="49"/>
    </row>
    <row r="26" spans="1:17" x14ac:dyDescent="0.2">
      <c r="B26" s="45">
        <v>46094</v>
      </c>
      <c r="C26" s="46" t="s">
        <v>111</v>
      </c>
      <c r="D26" s="46"/>
      <c r="E26" s="47"/>
      <c r="F26" s="47"/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22"/>
      <c r="M26" s="22"/>
      <c r="N26" s="22"/>
      <c r="O26" s="22"/>
      <c r="P26" s="49"/>
    </row>
    <row r="27" spans="1:17" x14ac:dyDescent="0.2">
      <c r="B27" s="50">
        <v>46095</v>
      </c>
      <c r="C27" s="51" t="s">
        <v>112</v>
      </c>
      <c r="D27" s="51"/>
      <c r="E27" s="52"/>
      <c r="F27" s="52"/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3"/>
      <c r="M27" s="22"/>
      <c r="N27" s="22"/>
      <c r="O27" s="22"/>
      <c r="P27" s="49"/>
    </row>
    <row r="28" spans="1:17" x14ac:dyDescent="0.2">
      <c r="B28" s="54">
        <v>46096</v>
      </c>
      <c r="C28" s="55" t="s">
        <v>49</v>
      </c>
      <c r="D28" s="55"/>
      <c r="E28" s="56"/>
      <c r="F28" s="56"/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7"/>
      <c r="M28" s="22"/>
      <c r="N28" s="22"/>
      <c r="O28" s="22"/>
      <c r="P28" s="49"/>
    </row>
    <row r="29" spans="1:17" x14ac:dyDescent="0.2">
      <c r="B29" s="45">
        <v>46097</v>
      </c>
      <c r="C29" s="46" t="s">
        <v>113</v>
      </c>
      <c r="D29" s="46"/>
      <c r="E29" s="47"/>
      <c r="F29" s="47"/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22"/>
      <c r="M29" s="22"/>
      <c r="N29" s="22"/>
      <c r="O29" s="22"/>
      <c r="P29" s="49"/>
    </row>
    <row r="30" spans="1:17" x14ac:dyDescent="0.2">
      <c r="B30" s="45">
        <v>46098</v>
      </c>
      <c r="C30" s="46" t="s">
        <v>108</v>
      </c>
      <c r="D30" s="46"/>
      <c r="E30" s="47"/>
      <c r="F30" s="47"/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22"/>
      <c r="M30" s="22"/>
      <c r="N30" s="22"/>
      <c r="O30" s="22"/>
      <c r="P30" s="49"/>
    </row>
    <row r="31" spans="1:17" x14ac:dyDescent="0.2">
      <c r="B31" s="45">
        <v>46099</v>
      </c>
      <c r="C31" s="46" t="s">
        <v>109</v>
      </c>
      <c r="D31" s="46"/>
      <c r="E31" s="47"/>
      <c r="F31" s="47"/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22"/>
      <c r="M31" s="22"/>
      <c r="N31" s="22"/>
      <c r="O31" s="22"/>
      <c r="P31" s="49"/>
    </row>
    <row r="32" spans="1:17" x14ac:dyDescent="0.2">
      <c r="B32" s="45">
        <v>46100</v>
      </c>
      <c r="C32" s="46" t="s">
        <v>110</v>
      </c>
      <c r="D32" s="46"/>
      <c r="E32" s="47"/>
      <c r="F32" s="47"/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22"/>
      <c r="M32" s="22"/>
      <c r="N32" s="22"/>
      <c r="O32" s="22"/>
      <c r="P32" s="49"/>
    </row>
    <row r="33" spans="2:16" x14ac:dyDescent="0.2">
      <c r="B33" s="45">
        <v>46101</v>
      </c>
      <c r="C33" s="46" t="s">
        <v>111</v>
      </c>
      <c r="D33" s="46"/>
      <c r="E33" s="47"/>
      <c r="F33" s="47"/>
      <c r="G33" s="48">
        <v>0</v>
      </c>
      <c r="H33" s="48">
        <v>0</v>
      </c>
      <c r="I33" s="48">
        <v>0</v>
      </c>
      <c r="J33" s="48">
        <v>0</v>
      </c>
      <c r="K33" s="48">
        <v>0</v>
      </c>
      <c r="L33" s="22"/>
      <c r="M33" s="22"/>
      <c r="N33" s="22"/>
      <c r="O33" s="22"/>
      <c r="P33" s="49"/>
    </row>
    <row r="34" spans="2:16" x14ac:dyDescent="0.2">
      <c r="B34" s="50">
        <v>46102</v>
      </c>
      <c r="C34" s="51" t="s">
        <v>112</v>
      </c>
      <c r="D34" s="51"/>
      <c r="E34" s="52"/>
      <c r="F34" s="52"/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3"/>
      <c r="M34" s="22"/>
      <c r="N34" s="22"/>
      <c r="O34" s="22"/>
      <c r="P34" s="49"/>
    </row>
    <row r="35" spans="2:16" x14ac:dyDescent="0.2">
      <c r="B35" s="54">
        <v>46103</v>
      </c>
      <c r="C35" s="55" t="s">
        <v>49</v>
      </c>
      <c r="D35" s="55"/>
      <c r="E35" s="56"/>
      <c r="F35" s="56"/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7"/>
      <c r="M35" s="22"/>
      <c r="N35" s="22"/>
      <c r="O35" s="22"/>
      <c r="P35" s="49"/>
    </row>
    <row r="36" spans="2:16" x14ac:dyDescent="0.2">
      <c r="B36" s="45">
        <v>46104</v>
      </c>
      <c r="C36" s="46" t="s">
        <v>113</v>
      </c>
      <c r="D36" s="46"/>
      <c r="E36" s="47"/>
      <c r="F36" s="47"/>
      <c r="G36" s="48">
        <v>0</v>
      </c>
      <c r="H36" s="48">
        <v>0</v>
      </c>
      <c r="I36" s="48">
        <v>0</v>
      </c>
      <c r="J36" s="48">
        <v>0</v>
      </c>
      <c r="K36" s="48">
        <v>0</v>
      </c>
      <c r="L36" s="22"/>
      <c r="M36" s="22"/>
      <c r="N36" s="22"/>
      <c r="O36" s="22"/>
      <c r="P36" s="49"/>
    </row>
  </sheetData>
  <mergeCells count="55">
    <mergeCell ref="L32:O32"/>
    <mergeCell ref="L33:O33"/>
    <mergeCell ref="L34:O34"/>
    <mergeCell ref="L35:O35"/>
    <mergeCell ref="L36:O36"/>
    <mergeCell ref="L26:O26"/>
    <mergeCell ref="L27:O27"/>
    <mergeCell ref="L28:O28"/>
    <mergeCell ref="L29:O29"/>
    <mergeCell ref="L30:O30"/>
    <mergeCell ref="L31:O31"/>
    <mergeCell ref="L20:O20"/>
    <mergeCell ref="L21:O21"/>
    <mergeCell ref="L22:O22"/>
    <mergeCell ref="L23:O23"/>
    <mergeCell ref="L24:O24"/>
    <mergeCell ref="L25:O25"/>
    <mergeCell ref="L14:O14"/>
    <mergeCell ref="L15:O15"/>
    <mergeCell ref="L16:O16"/>
    <mergeCell ref="L17:O17"/>
    <mergeCell ref="L18:O18"/>
    <mergeCell ref="L19:O19"/>
    <mergeCell ref="L7:O8"/>
    <mergeCell ref="L9:O9"/>
    <mergeCell ref="L10:O10"/>
    <mergeCell ref="L11:O11"/>
    <mergeCell ref="L12:O12"/>
    <mergeCell ref="L13:O13"/>
    <mergeCell ref="B6:P6"/>
    <mergeCell ref="B7:B8"/>
    <mergeCell ref="C7:C8"/>
    <mergeCell ref="D7:D8"/>
    <mergeCell ref="E7:F7"/>
    <mergeCell ref="G7:G8"/>
    <mergeCell ref="H7:H8"/>
    <mergeCell ref="I7:I8"/>
    <mergeCell ref="J7:J8"/>
    <mergeCell ref="K7:K8"/>
    <mergeCell ref="E4:F4"/>
    <mergeCell ref="I4:J4"/>
    <mergeCell ref="M4:N4"/>
    <mergeCell ref="E5:F5"/>
    <mergeCell ref="I5:J5"/>
    <mergeCell ref="M5:N5"/>
    <mergeCell ref="B1:P1"/>
    <mergeCell ref="B2:P2"/>
    <mergeCell ref="B3:C3"/>
    <mergeCell ref="D3:D5"/>
    <mergeCell ref="E3:G3"/>
    <mergeCell ref="H3:H5"/>
    <mergeCell ref="I3:K3"/>
    <mergeCell ref="L3:L5"/>
    <mergeCell ref="M3:O3"/>
    <mergeCell ref="P3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8F63-D5C0-644A-9FBA-21F8509370B1}">
  <dimension ref="A1:T46"/>
  <sheetViews>
    <sheetView topLeftCell="A8" workbookViewId="0">
      <selection activeCell="E39" sqref="E39"/>
    </sheetView>
  </sheetViews>
  <sheetFormatPr baseColWidth="10" defaultRowHeight="15" x14ac:dyDescent="0.2"/>
  <cols>
    <col min="1" max="1" width="18.5" style="5" customWidth="1"/>
  </cols>
  <sheetData>
    <row r="1" spans="2:20" x14ac:dyDescent="0.2">
      <c r="B1" s="58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2:20" x14ac:dyDescent="0.2">
      <c r="B2" s="58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2:20" ht="23" x14ac:dyDescent="0.2"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2:20" ht="18" x14ac:dyDescent="0.2">
      <c r="B4" s="60" t="s">
        <v>115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</row>
    <row r="5" spans="2:20" x14ac:dyDescent="0.2">
      <c r="B5" s="61" t="s">
        <v>4</v>
      </c>
      <c r="C5" s="61"/>
      <c r="D5" s="62">
        <v>19.03</v>
      </c>
      <c r="E5" s="62"/>
      <c r="F5" s="61"/>
      <c r="G5" s="61" t="s">
        <v>5</v>
      </c>
      <c r="H5" s="61"/>
      <c r="I5" s="63">
        <v>2</v>
      </c>
      <c r="J5" s="61"/>
      <c r="K5" s="61" t="s">
        <v>6</v>
      </c>
      <c r="L5" s="61"/>
      <c r="M5" s="63">
        <v>34</v>
      </c>
      <c r="N5" s="10"/>
      <c r="O5" s="64"/>
      <c r="P5" s="64"/>
      <c r="Q5" s="64"/>
      <c r="R5" s="64"/>
      <c r="S5" s="64"/>
    </row>
    <row r="6" spans="2:20" x14ac:dyDescent="0.2">
      <c r="B6" s="61" t="s">
        <v>7</v>
      </c>
      <c r="C6" s="61"/>
      <c r="D6" s="62">
        <v>3.81</v>
      </c>
      <c r="E6" s="62"/>
      <c r="F6" s="61"/>
      <c r="G6" s="61" t="s">
        <v>8</v>
      </c>
      <c r="H6" s="61"/>
      <c r="I6" s="63">
        <v>1</v>
      </c>
      <c r="J6" s="61"/>
      <c r="K6" s="61" t="s">
        <v>9</v>
      </c>
      <c r="L6" s="61"/>
      <c r="M6" s="63">
        <v>24</v>
      </c>
      <c r="N6" s="61"/>
      <c r="O6" s="64"/>
      <c r="P6" s="64"/>
      <c r="Q6" s="64"/>
      <c r="R6" s="64"/>
      <c r="S6" s="64"/>
    </row>
    <row r="7" spans="2:20" x14ac:dyDescent="0.2">
      <c r="B7" s="61" t="s">
        <v>10</v>
      </c>
      <c r="C7" s="61"/>
      <c r="D7" s="63">
        <v>0.09</v>
      </c>
      <c r="E7" s="63">
        <v>0</v>
      </c>
      <c r="F7" s="61"/>
      <c r="G7" s="61" t="s">
        <v>11</v>
      </c>
      <c r="H7" s="61"/>
      <c r="I7" s="63">
        <v>24</v>
      </c>
      <c r="J7" s="61"/>
      <c r="K7" s="61" t="s">
        <v>12</v>
      </c>
      <c r="L7" s="61"/>
      <c r="M7" s="63">
        <v>0</v>
      </c>
      <c r="N7" s="61"/>
      <c r="O7" s="64"/>
      <c r="P7" s="64"/>
      <c r="Q7" s="64"/>
      <c r="R7" s="64"/>
      <c r="S7" s="64"/>
    </row>
    <row r="8" spans="2:20" x14ac:dyDescent="0.2">
      <c r="B8" s="65" t="s">
        <v>13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spans="2:20" x14ac:dyDescent="0.2">
      <c r="B9" s="66" t="s">
        <v>14</v>
      </c>
      <c r="C9" s="66" t="s">
        <v>15</v>
      </c>
      <c r="D9" s="65" t="s">
        <v>16</v>
      </c>
      <c r="E9" s="65"/>
      <c r="F9" s="65" t="s">
        <v>17</v>
      </c>
      <c r="G9" s="65"/>
      <c r="H9" s="65" t="s">
        <v>18</v>
      </c>
      <c r="I9" s="65"/>
      <c r="J9" s="66" t="s">
        <v>19</v>
      </c>
      <c r="K9" s="66" t="s">
        <v>20</v>
      </c>
      <c r="L9" s="66" t="s">
        <v>21</v>
      </c>
      <c r="M9" s="66" t="s">
        <v>22</v>
      </c>
      <c r="N9" s="66" t="s">
        <v>23</v>
      </c>
      <c r="O9" s="66" t="s">
        <v>24</v>
      </c>
      <c r="P9" s="66" t="s">
        <v>25</v>
      </c>
      <c r="Q9" s="66" t="s">
        <v>26</v>
      </c>
      <c r="R9" s="66" t="s">
        <v>27</v>
      </c>
      <c r="S9" s="66" t="s">
        <v>28</v>
      </c>
      <c r="T9" t="s">
        <v>165</v>
      </c>
    </row>
    <row r="10" spans="2:20" x14ac:dyDescent="0.2">
      <c r="B10" s="66"/>
      <c r="C10" s="66"/>
      <c r="D10" s="67" t="s">
        <v>29</v>
      </c>
      <c r="E10" s="67" t="s">
        <v>30</v>
      </c>
      <c r="F10" s="67" t="s">
        <v>29</v>
      </c>
      <c r="G10" s="67" t="s">
        <v>30</v>
      </c>
      <c r="H10" s="67" t="s">
        <v>29</v>
      </c>
      <c r="I10" s="67" t="s">
        <v>30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</row>
    <row r="11" spans="2:20" x14ac:dyDescent="0.2">
      <c r="B11" s="68" t="s">
        <v>116</v>
      </c>
      <c r="C11" s="68" t="s">
        <v>32</v>
      </c>
      <c r="D11" s="68"/>
      <c r="E11" s="68"/>
      <c r="F11" s="68"/>
      <c r="G11" s="68"/>
      <c r="H11" s="68"/>
      <c r="I11" s="68"/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 t="s">
        <v>35</v>
      </c>
    </row>
    <row r="12" spans="2:20" x14ac:dyDescent="0.2">
      <c r="B12" s="68" t="s">
        <v>117</v>
      </c>
      <c r="C12" s="68" t="s">
        <v>37</v>
      </c>
      <c r="D12" s="68"/>
      <c r="E12" s="68"/>
      <c r="F12" s="68"/>
      <c r="G12" s="68"/>
      <c r="H12" s="68"/>
      <c r="I12" s="68"/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 t="s">
        <v>35</v>
      </c>
    </row>
    <row r="13" spans="2:20" x14ac:dyDescent="0.2">
      <c r="B13" s="68" t="s">
        <v>118</v>
      </c>
      <c r="C13" s="68" t="s">
        <v>39</v>
      </c>
      <c r="D13" s="68"/>
      <c r="E13" s="68"/>
      <c r="F13" s="68"/>
      <c r="G13" s="68"/>
      <c r="H13" s="68"/>
      <c r="I13" s="68"/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 t="s">
        <v>35</v>
      </c>
    </row>
    <row r="14" spans="2:20" x14ac:dyDescent="0.2">
      <c r="B14" s="68" t="s">
        <v>119</v>
      </c>
      <c r="C14" s="68" t="s">
        <v>43</v>
      </c>
      <c r="D14" s="68"/>
      <c r="E14" s="68"/>
      <c r="F14" s="68"/>
      <c r="G14" s="68"/>
      <c r="H14" s="68"/>
      <c r="I14" s="68"/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 t="s">
        <v>35</v>
      </c>
    </row>
    <row r="15" spans="2:20" x14ac:dyDescent="0.2">
      <c r="B15" s="68" t="s">
        <v>120</v>
      </c>
      <c r="C15" s="68" t="s">
        <v>47</v>
      </c>
      <c r="D15" s="68"/>
      <c r="E15" s="68"/>
      <c r="F15" s="68"/>
      <c r="G15" s="68"/>
      <c r="H15" s="68"/>
      <c r="I15" s="68"/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 t="s">
        <v>35</v>
      </c>
    </row>
    <row r="16" spans="2:20" x14ac:dyDescent="0.2">
      <c r="B16" s="68" t="s">
        <v>121</v>
      </c>
      <c r="C16" s="68" t="s">
        <v>49</v>
      </c>
      <c r="D16" s="68"/>
      <c r="E16" s="68"/>
      <c r="F16" s="68"/>
      <c r="G16" s="68"/>
      <c r="H16" s="68"/>
      <c r="I16" s="68"/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 t="s">
        <v>35</v>
      </c>
    </row>
    <row r="17" spans="1:20" x14ac:dyDescent="0.2">
      <c r="B17" s="68" t="s">
        <v>122</v>
      </c>
      <c r="C17" s="68" t="s">
        <v>52</v>
      </c>
      <c r="D17" s="68"/>
      <c r="E17" s="68"/>
      <c r="F17" s="68"/>
      <c r="G17" s="68"/>
      <c r="H17" s="68"/>
      <c r="I17" s="68"/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 t="s">
        <v>35</v>
      </c>
    </row>
    <row r="18" spans="1:20" x14ac:dyDescent="0.2">
      <c r="B18" s="68" t="s">
        <v>123</v>
      </c>
      <c r="C18" s="68" t="s">
        <v>32</v>
      </c>
      <c r="D18" s="68"/>
      <c r="E18" s="68"/>
      <c r="F18" s="68"/>
      <c r="G18" s="68"/>
      <c r="H18" s="68"/>
      <c r="I18" s="68"/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 t="s">
        <v>35</v>
      </c>
    </row>
    <row r="19" spans="1:20" x14ac:dyDescent="0.2">
      <c r="B19" s="68" t="s">
        <v>124</v>
      </c>
      <c r="C19" s="68" t="s">
        <v>37</v>
      </c>
      <c r="D19" s="68"/>
      <c r="E19" s="68"/>
      <c r="F19" s="68"/>
      <c r="G19" s="68"/>
      <c r="H19" s="68"/>
      <c r="I19" s="68"/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 t="s">
        <v>35</v>
      </c>
    </row>
    <row r="20" spans="1:20" x14ac:dyDescent="0.2">
      <c r="B20" s="68" t="s">
        <v>125</v>
      </c>
      <c r="C20" s="68" t="s">
        <v>39</v>
      </c>
      <c r="D20" s="68"/>
      <c r="E20" s="68"/>
      <c r="F20" s="68"/>
      <c r="G20" s="68"/>
      <c r="H20" s="68"/>
      <c r="I20" s="68"/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 t="s">
        <v>35</v>
      </c>
    </row>
    <row r="21" spans="1:20" x14ac:dyDescent="0.2">
      <c r="B21" s="68" t="s">
        <v>126</v>
      </c>
      <c r="C21" s="68" t="s">
        <v>43</v>
      </c>
      <c r="D21" s="68"/>
      <c r="E21" s="68"/>
      <c r="F21" s="68"/>
      <c r="G21" s="68"/>
      <c r="H21" s="68"/>
      <c r="I21" s="68"/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 t="s">
        <v>35</v>
      </c>
    </row>
    <row r="22" spans="1:20" x14ac:dyDescent="0.2">
      <c r="B22" s="68" t="s">
        <v>127</v>
      </c>
      <c r="C22" s="68" t="s">
        <v>47</v>
      </c>
      <c r="D22" s="68" t="s">
        <v>76</v>
      </c>
      <c r="E22" s="68" t="s">
        <v>128</v>
      </c>
      <c r="F22" s="68"/>
      <c r="G22" s="68"/>
      <c r="H22" s="68"/>
      <c r="I22" s="68"/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 t="s">
        <v>35</v>
      </c>
      <c r="T22" s="70">
        <v>1</v>
      </c>
    </row>
    <row r="23" spans="1:20" x14ac:dyDescent="0.2">
      <c r="B23" s="68" t="s">
        <v>129</v>
      </c>
      <c r="C23" s="68" t="s">
        <v>49</v>
      </c>
      <c r="D23" s="68"/>
      <c r="E23" s="68"/>
      <c r="F23" s="68"/>
      <c r="G23" s="68"/>
      <c r="H23" s="68"/>
      <c r="I23" s="68"/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 t="s">
        <v>35</v>
      </c>
    </row>
    <row r="24" spans="1:20" x14ac:dyDescent="0.2">
      <c r="B24" s="68" t="s">
        <v>130</v>
      </c>
      <c r="C24" s="68" t="s">
        <v>52</v>
      </c>
      <c r="D24" s="68"/>
      <c r="E24" s="68"/>
      <c r="F24" s="68"/>
      <c r="G24" s="68"/>
      <c r="H24" s="68"/>
      <c r="I24" s="68"/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 t="s">
        <v>35</v>
      </c>
    </row>
    <row r="25" spans="1:20" x14ac:dyDescent="0.2">
      <c r="B25" s="68" t="s">
        <v>131</v>
      </c>
      <c r="C25" s="68" t="s">
        <v>32</v>
      </c>
      <c r="D25" s="68"/>
      <c r="E25" s="68"/>
      <c r="F25" s="68"/>
      <c r="G25" s="68"/>
      <c r="H25" s="68"/>
      <c r="I25" s="68"/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 t="s">
        <v>35</v>
      </c>
    </row>
    <row r="26" spans="1:20" x14ac:dyDescent="0.2">
      <c r="B26" s="68" t="s">
        <v>132</v>
      </c>
      <c r="C26" s="68" t="s">
        <v>37</v>
      </c>
      <c r="D26" s="68" t="s">
        <v>133</v>
      </c>
      <c r="E26" s="68" t="s">
        <v>77</v>
      </c>
      <c r="F26" s="68"/>
      <c r="G26" s="68"/>
      <c r="H26" s="68"/>
      <c r="I26" s="68"/>
      <c r="J26" s="68">
        <v>0</v>
      </c>
      <c r="K26" s="68">
        <v>0</v>
      </c>
      <c r="L26" s="68">
        <v>1</v>
      </c>
      <c r="M26" s="68">
        <v>5</v>
      </c>
      <c r="N26" s="68">
        <v>1</v>
      </c>
      <c r="O26" s="68">
        <v>0.02</v>
      </c>
      <c r="P26" s="68">
        <v>0</v>
      </c>
      <c r="Q26" s="68">
        <v>0</v>
      </c>
      <c r="R26" s="68">
        <v>0</v>
      </c>
      <c r="S26" s="68" t="s">
        <v>61</v>
      </c>
      <c r="T26" s="70">
        <v>1</v>
      </c>
    </row>
    <row r="27" spans="1:20" x14ac:dyDescent="0.2">
      <c r="B27" s="68" t="s">
        <v>134</v>
      </c>
      <c r="C27" s="68" t="s">
        <v>39</v>
      </c>
      <c r="D27" s="68"/>
      <c r="E27" s="68"/>
      <c r="F27" s="68"/>
      <c r="G27" s="68"/>
      <c r="H27" s="68"/>
      <c r="I27" s="68"/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 t="s">
        <v>35</v>
      </c>
    </row>
    <row r="28" spans="1:20" x14ac:dyDescent="0.2">
      <c r="B28" s="68" t="s">
        <v>135</v>
      </c>
      <c r="C28" s="68" t="s">
        <v>43</v>
      </c>
      <c r="D28" s="68"/>
      <c r="E28" s="68"/>
      <c r="F28" s="68"/>
      <c r="G28" s="68"/>
      <c r="H28" s="68"/>
      <c r="I28" s="68"/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 t="s">
        <v>35</v>
      </c>
    </row>
    <row r="29" spans="1:20" x14ac:dyDescent="0.2">
      <c r="B29" s="68" t="s">
        <v>136</v>
      </c>
      <c r="C29" s="68" t="s">
        <v>47</v>
      </c>
      <c r="D29" s="68"/>
      <c r="E29" s="68"/>
      <c r="F29" s="68"/>
      <c r="G29" s="68"/>
      <c r="H29" s="68"/>
      <c r="I29" s="68"/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 t="s">
        <v>35</v>
      </c>
    </row>
    <row r="30" spans="1:20" x14ac:dyDescent="0.2">
      <c r="A30" s="5" t="s">
        <v>175</v>
      </c>
      <c r="B30" s="71" t="s">
        <v>137</v>
      </c>
      <c r="C30" s="68" t="s">
        <v>49</v>
      </c>
      <c r="D30" s="79">
        <v>0.29444444444444445</v>
      </c>
      <c r="E30" s="68" t="s">
        <v>138</v>
      </c>
      <c r="F30" s="72">
        <f>56+45</f>
        <v>101</v>
      </c>
      <c r="G30" s="68"/>
      <c r="H30" s="68"/>
      <c r="I30" s="68"/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 t="s">
        <v>35</v>
      </c>
      <c r="T30" s="70">
        <v>2</v>
      </c>
    </row>
    <row r="31" spans="1:20" x14ac:dyDescent="0.2">
      <c r="B31" s="68" t="s">
        <v>139</v>
      </c>
      <c r="C31" s="68" t="s">
        <v>52</v>
      </c>
      <c r="D31" s="68"/>
      <c r="E31" s="68"/>
      <c r="F31" s="68"/>
      <c r="G31" s="68"/>
      <c r="H31" s="68"/>
      <c r="I31" s="68"/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 t="s">
        <v>35</v>
      </c>
    </row>
    <row r="32" spans="1:20" x14ac:dyDescent="0.2">
      <c r="B32" s="68" t="s">
        <v>140</v>
      </c>
      <c r="C32" s="68" t="s">
        <v>32</v>
      </c>
      <c r="D32" s="68"/>
      <c r="E32" s="68"/>
      <c r="F32" s="68"/>
      <c r="G32" s="68"/>
      <c r="H32" s="68"/>
      <c r="I32" s="68"/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 t="s">
        <v>35</v>
      </c>
    </row>
    <row r="33" spans="1:20" x14ac:dyDescent="0.2">
      <c r="B33" s="68" t="s">
        <v>141</v>
      </c>
      <c r="C33" s="68" t="s">
        <v>37</v>
      </c>
      <c r="D33" s="68"/>
      <c r="E33" s="68"/>
      <c r="F33" s="68"/>
      <c r="G33" s="68"/>
      <c r="H33" s="68"/>
      <c r="I33" s="68"/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 t="s">
        <v>35</v>
      </c>
    </row>
    <row r="34" spans="1:20" x14ac:dyDescent="0.2">
      <c r="B34" s="68" t="s">
        <v>142</v>
      </c>
      <c r="C34" s="68" t="s">
        <v>39</v>
      </c>
      <c r="D34" s="68"/>
      <c r="E34" s="68"/>
      <c r="F34" s="68"/>
      <c r="G34" s="68"/>
      <c r="H34" s="68"/>
      <c r="I34" s="68"/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 t="s">
        <v>35</v>
      </c>
    </row>
    <row r="35" spans="1:20" x14ac:dyDescent="0.2">
      <c r="B35" s="68" t="s">
        <v>143</v>
      </c>
      <c r="C35" s="68" t="s">
        <v>43</v>
      </c>
      <c r="D35" s="68"/>
      <c r="E35" s="68"/>
      <c r="F35" s="68"/>
      <c r="G35" s="68"/>
      <c r="H35" s="68"/>
      <c r="I35" s="68"/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 t="s">
        <v>35</v>
      </c>
    </row>
    <row r="36" spans="1:20" x14ac:dyDescent="0.2">
      <c r="B36" s="68" t="s">
        <v>144</v>
      </c>
      <c r="C36" s="68" t="s">
        <v>47</v>
      </c>
      <c r="D36" s="68" t="s">
        <v>145</v>
      </c>
      <c r="E36" s="68" t="s">
        <v>146</v>
      </c>
      <c r="F36" s="68"/>
      <c r="G36" s="68"/>
      <c r="H36" s="68"/>
      <c r="I36" s="68"/>
      <c r="J36" s="68">
        <v>0</v>
      </c>
      <c r="K36" s="68">
        <v>0</v>
      </c>
      <c r="L36" s="68">
        <v>1</v>
      </c>
      <c r="M36" s="68">
        <v>5</v>
      </c>
      <c r="N36" s="68">
        <v>1</v>
      </c>
      <c r="O36" s="68">
        <v>0.02</v>
      </c>
      <c r="P36" s="68">
        <v>0</v>
      </c>
      <c r="Q36" s="68">
        <v>0</v>
      </c>
      <c r="R36" s="68">
        <v>0</v>
      </c>
      <c r="S36" s="68" t="s">
        <v>61</v>
      </c>
      <c r="T36" s="70">
        <v>1</v>
      </c>
    </row>
    <row r="37" spans="1:20" x14ac:dyDescent="0.2">
      <c r="B37" s="68" t="s">
        <v>147</v>
      </c>
      <c r="C37" s="68" t="s">
        <v>49</v>
      </c>
      <c r="D37" s="68"/>
      <c r="E37" s="68"/>
      <c r="F37" s="68"/>
      <c r="G37" s="68"/>
      <c r="H37" s="68"/>
      <c r="I37" s="68"/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 t="s">
        <v>35</v>
      </c>
    </row>
    <row r="38" spans="1:20" x14ac:dyDescent="0.2">
      <c r="B38" s="68" t="s">
        <v>148</v>
      </c>
      <c r="C38" s="68" t="s">
        <v>52</v>
      </c>
      <c r="D38" s="68"/>
      <c r="E38" s="68"/>
      <c r="F38" s="68"/>
      <c r="G38" s="68"/>
      <c r="H38" s="68"/>
      <c r="I38" s="68"/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 t="s">
        <v>35</v>
      </c>
    </row>
    <row r="39" spans="1:20" x14ac:dyDescent="0.2">
      <c r="A39" s="5" t="s">
        <v>166</v>
      </c>
      <c r="B39" s="68" t="s">
        <v>149</v>
      </c>
      <c r="C39" s="68" t="s">
        <v>32</v>
      </c>
      <c r="D39" s="68" t="s">
        <v>150</v>
      </c>
      <c r="E39" s="68" t="s">
        <v>151</v>
      </c>
      <c r="F39" s="68"/>
      <c r="G39" s="68"/>
      <c r="H39" s="68"/>
      <c r="I39" s="68"/>
      <c r="J39" s="68">
        <v>22</v>
      </c>
      <c r="K39" s="68">
        <v>0</v>
      </c>
      <c r="L39" s="68">
        <v>3</v>
      </c>
      <c r="M39" s="68">
        <v>4.63</v>
      </c>
      <c r="N39" s="68">
        <v>0.93</v>
      </c>
      <c r="O39" s="68">
        <v>0.05</v>
      </c>
      <c r="P39" s="68">
        <v>0</v>
      </c>
      <c r="Q39" s="68">
        <v>0</v>
      </c>
      <c r="R39" s="68">
        <v>0</v>
      </c>
      <c r="S39" s="68" t="s">
        <v>61</v>
      </c>
      <c r="T39" s="70">
        <v>1</v>
      </c>
    </row>
    <row r="40" spans="1:20" x14ac:dyDescent="0.2">
      <c r="B40" s="68" t="s">
        <v>152</v>
      </c>
      <c r="C40" s="68" t="s">
        <v>37</v>
      </c>
      <c r="D40" s="68"/>
      <c r="E40" s="68"/>
      <c r="F40" s="68"/>
      <c r="G40" s="68"/>
      <c r="H40" s="68"/>
      <c r="I40" s="68"/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 t="s">
        <v>35</v>
      </c>
    </row>
    <row r="41" spans="1:20" x14ac:dyDescent="0.2">
      <c r="A41" s="5" t="s">
        <v>161</v>
      </c>
      <c r="B41" s="68" t="s">
        <v>153</v>
      </c>
      <c r="C41" s="68" t="s">
        <v>39</v>
      </c>
      <c r="D41" s="68" t="s">
        <v>154</v>
      </c>
      <c r="E41" s="68" t="s">
        <v>155</v>
      </c>
      <c r="F41" s="68"/>
      <c r="G41" s="68"/>
      <c r="H41" s="68"/>
      <c r="I41" s="68"/>
      <c r="J41" s="68">
        <v>12</v>
      </c>
      <c r="K41" s="68">
        <v>24</v>
      </c>
      <c r="L41" s="68">
        <v>0</v>
      </c>
      <c r="M41" s="68">
        <v>4.4000000000000004</v>
      </c>
      <c r="N41" s="68">
        <v>0.88</v>
      </c>
      <c r="O41" s="68">
        <v>0</v>
      </c>
      <c r="P41" s="68">
        <v>0</v>
      </c>
      <c r="Q41" s="68">
        <v>0</v>
      </c>
      <c r="R41" s="68">
        <v>0</v>
      </c>
      <c r="S41" s="68" t="s">
        <v>61</v>
      </c>
      <c r="T41" s="70">
        <v>1</v>
      </c>
    </row>
    <row r="42" spans="1:20" x14ac:dyDescent="0.2">
      <c r="B42" s="68" t="s">
        <v>156</v>
      </c>
      <c r="C42" s="68" t="s">
        <v>43</v>
      </c>
      <c r="D42" s="68"/>
      <c r="E42" s="68"/>
      <c r="F42" s="68"/>
      <c r="G42" s="68"/>
      <c r="H42" s="68"/>
      <c r="I42" s="68"/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 t="s">
        <v>35</v>
      </c>
    </row>
    <row r="43" spans="1:20" x14ac:dyDescent="0.2">
      <c r="B43" s="68" t="s">
        <v>157</v>
      </c>
      <c r="C43" s="68" t="s">
        <v>47</v>
      </c>
      <c r="D43" s="68" t="s">
        <v>76</v>
      </c>
      <c r="E43" s="68" t="s">
        <v>158</v>
      </c>
      <c r="F43" s="68"/>
      <c r="G43" s="68"/>
      <c r="H43" s="68"/>
      <c r="I43" s="68"/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 t="s">
        <v>35</v>
      </c>
      <c r="T43" s="70">
        <v>1</v>
      </c>
    </row>
    <row r="44" spans="1:20" x14ac:dyDescent="0.2">
      <c r="B44" s="68" t="s">
        <v>159</v>
      </c>
      <c r="C44" s="68" t="s">
        <v>49</v>
      </c>
      <c r="D44" s="68"/>
      <c r="E44" s="68"/>
      <c r="F44" s="68"/>
      <c r="G44" s="68"/>
      <c r="H44" s="68"/>
      <c r="I44" s="68"/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 t="s">
        <v>35</v>
      </c>
    </row>
    <row r="45" spans="1:20" x14ac:dyDescent="0.2">
      <c r="B45" s="68" t="s">
        <v>160</v>
      </c>
      <c r="C45" s="68" t="s">
        <v>52</v>
      </c>
      <c r="D45" s="68"/>
      <c r="E45" s="68"/>
      <c r="F45" s="68"/>
      <c r="G45" s="68"/>
      <c r="H45" s="68"/>
      <c r="I45" s="68"/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 t="s">
        <v>35</v>
      </c>
    </row>
    <row r="46" spans="1:20" x14ac:dyDescent="0.2">
      <c r="J46" s="73">
        <f>-SUM(J11:J45)</f>
        <v>-34</v>
      </c>
      <c r="K46" s="73">
        <f>-SUM(K11:K45)</f>
        <v>-24</v>
      </c>
      <c r="T46">
        <f>SUM(T11:T45)</f>
        <v>8</v>
      </c>
    </row>
  </sheetData>
  <mergeCells count="34">
    <mergeCell ref="N9:N10"/>
    <mergeCell ref="O9:O10"/>
    <mergeCell ref="P9:P10"/>
    <mergeCell ref="Q9:Q10"/>
    <mergeCell ref="R9:R10"/>
    <mergeCell ref="S9:S10"/>
    <mergeCell ref="B8:S8"/>
    <mergeCell ref="B9:B10"/>
    <mergeCell ref="C9:C10"/>
    <mergeCell ref="D9:E9"/>
    <mergeCell ref="F9:G9"/>
    <mergeCell ref="H9:I9"/>
    <mergeCell ref="J9:J10"/>
    <mergeCell ref="K9:K10"/>
    <mergeCell ref="L9:L10"/>
    <mergeCell ref="M9:M10"/>
    <mergeCell ref="N5:N7"/>
    <mergeCell ref="B6:C6"/>
    <mergeCell ref="D6:E6"/>
    <mergeCell ref="G6:H6"/>
    <mergeCell ref="K6:L6"/>
    <mergeCell ref="B7:C7"/>
    <mergeCell ref="G7:H7"/>
    <mergeCell ref="K7:L7"/>
    <mergeCell ref="B1:S1"/>
    <mergeCell ref="B2:S2"/>
    <mergeCell ref="B3:S3"/>
    <mergeCell ref="B4:S4"/>
    <mergeCell ref="B5:C5"/>
    <mergeCell ref="D5:E5"/>
    <mergeCell ref="F5:F7"/>
    <mergeCell ref="G5:H5"/>
    <mergeCell ref="J5:J7"/>
    <mergeCell ref="K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</vt:lpstr>
      <vt:lpstr>HV</vt:lpstr>
      <vt:lpstr>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Ngọc Phan</cp:lastModifiedBy>
  <dcterms:created xsi:type="dcterms:W3CDTF">2026-03-23T20:04:20Z</dcterms:created>
  <dcterms:modified xsi:type="dcterms:W3CDTF">2026-03-23T16:20:41Z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